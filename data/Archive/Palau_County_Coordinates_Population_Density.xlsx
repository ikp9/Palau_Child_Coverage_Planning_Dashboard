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kp9\R\USAPI\Palau\Palau_Child_Coverage_Planning_Dashboard\data\"/>
    </mc:Choice>
  </mc:AlternateContent>
  <xr:revisionPtr revIDLastSave="0" documentId="8_{F59EC1D2-C2D2-49F6-ADEC-D430C571C4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e_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6" i="2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<sst xmlns="http://schemas.openxmlformats.org/spreadsheetml/2006/main" count="120" uniqueCount="56">
  <si>
    <t>County</t>
  </si>
  <si>
    <t>Feature Type</t>
  </si>
  <si>
    <t>Latitude</t>
  </si>
  <si>
    <t>Longitude</t>
  </si>
  <si>
    <t>2020 Population</t>
  </si>
  <si>
    <t>Land Area (km²)</t>
  </si>
  <si>
    <t>Land Area (m²)</t>
  </si>
  <si>
    <t>Land Area (mi²)</t>
  </si>
  <si>
    <t>Population Density (per km²)</t>
  </si>
  <si>
    <t>Population Source URL</t>
  </si>
  <si>
    <t>Area Source URL</t>
  </si>
  <si>
    <t>Coordinate Source</t>
  </si>
  <si>
    <t>Notes</t>
  </si>
  <si>
    <t>AIMELIIK</t>
  </si>
  <si>
    <t>State</t>
  </si>
  <si>
    <t>https://www.palaugov.pw/executive-branch/ministries/finance/budgetandplanning/population-census/</t>
  </si>
  <si>
    <t>https://palaugov.pw/wp-content/uploads/2018/07/2017-Statistical-Yearbook.pdf</t>
  </si>
  <si>
    <t>Palau_County Coordinates.xlsx</t>
  </si>
  <si>
    <t>AIRAI</t>
  </si>
  <si>
    <t>ANGAUR</t>
  </si>
  <si>
    <t>HATOHOBEI</t>
  </si>
  <si>
    <t>KAYANGEL</t>
  </si>
  <si>
    <t>KOROR</t>
  </si>
  <si>
    <t>MELEKEOK</t>
  </si>
  <si>
    <t>NGARAARD</t>
  </si>
  <si>
    <t>NGARCHELONG</t>
  </si>
  <si>
    <t>Spelling from the uploaded coordinate workbook retained for joins; official sources also use Ngarchelong/Ngerchelong.</t>
  </si>
  <si>
    <t>NGARDMAU</t>
  </si>
  <si>
    <t>NGAREMLENGUI</t>
  </si>
  <si>
    <t>NGATPANG</t>
  </si>
  <si>
    <t>NGCHESAR</t>
  </si>
  <si>
    <t>NGIWAL</t>
  </si>
  <si>
    <t>PELELIU</t>
  </si>
  <si>
    <t>SONSOROL</t>
  </si>
  <si>
    <t>https://www.geonames.org/1559630/state-of-sonsorol.html</t>
  </si>
  <si>
    <t>Added because Sonsorol was absent from the uploaded coordinate workbook; coordinate is an approximate state/location point from GeoNames.</t>
  </si>
  <si>
    <t>Palau State Population, Area, Density, and Coordinates</t>
  </si>
  <si>
    <t>Dataset</t>
  </si>
  <si>
    <t>One row for each of Palau's 16 states, with 2020 population, land area, calculated density, and coordinates.</t>
  </si>
  <si>
    <t>Administrative unit</t>
  </si>
  <si>
    <t>Palau's first-level administrative units are states. The County field name is retained for compatibility with the uploaded coordinate file and downstream joins.</t>
  </si>
  <si>
    <t>Population basis</t>
  </si>
  <si>
    <t>2020 Census of Population and Housing, State of Residence.</t>
  </si>
  <si>
    <t>Population check</t>
  </si>
  <si>
    <t>Area basis</t>
  </si>
  <si>
    <t>Office of PALARIS land-area values reported in Table 2.2 of the 2017 Republic of Palau Statistical Yearbook. Land area is treated as time-invariant for this calculation.</t>
  </si>
  <si>
    <t>Area check (km²)</t>
  </si>
  <si>
    <t>Density calculation</t>
  </si>
  <si>
    <t>2020 Population divided by Land Area (km²). Density cells retain formula precision and display one decimal place.</t>
  </si>
  <si>
    <t>Square-mile calculation</t>
  </si>
  <si>
    <t>Land Area (km²) divided by 2.589988110336. Values may differ slightly from independently rounded square-mile values in the source table.</t>
  </si>
  <si>
    <t>Coordinate basis</t>
  </si>
  <si>
    <t>Fifteen coordinates came from Palau_County Coordinates.xlsx. Sonsorol was missing and was added using the GeoNames state/location point.</t>
  </si>
  <si>
    <t>Name note</t>
  </si>
  <si>
    <t>NGARCHELONG is retained exactly as supplied for joins; official publications vary between Ngarchelong and Ngerchelong.</t>
  </si>
  <si>
    <t>Sonsorol Coordinate Source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</si>
</sst>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Aptos Narrow"/>
    </font>
    <font>
      <b/>
      <sz val="10"/>
      <color rgb="FFFFFFFF"/>
      <name val="Aptos"/>
    </font>
    <font>
      <sz val="10"/>
      <color theme="1"/>
      <name val="Aptos"/>
    </font>
    <font>
      <sz val="8"/>
      <color rgb="FF1F4E79"/>
      <name val="Aptos"/>
    </font>
    <font>
      <b/>
      <sz val="16"/>
      <color rgb="FFFFFFFF"/>
      <name val="Aptos Display"/>
    </font>
    <font>
      <b/>
      <sz val="10"/>
      <color rgb="FF003E73"/>
      <name val="Aptos"/>
    </font>
    <font>
      <sz val="10"/>
      <color rgb="FF222222"/>
      <name val="Aptos"/>
    </font>
    <font>
      <sz val="9"/>
      <color rgb="FF1F4E79"/>
      <name val="Aptos"/>
    </font>
  </fonts>
  <fills count="4">
    <fill>
      <patternFill patternType="none"/>
    </fill>
    <fill>
      <patternFill patternType="gray125"/>
    </fill>
    <fill>
      <patternFill patternType="solid">
        <fgColor rgb="FF005EA8"/>
      </patternFill>
    </fill>
    <fill>
      <patternFill patternType="solid">
        <fgColor rgb="FFE7F2F8"/>
      </patternFill>
    </fill>
  </fills>
  <borders count="7">
    <border>
      <left/>
      <right/>
      <top/>
      <bottom/>
      <diagonal/>
    </border>
    <border>
      <left style="thin">
        <color rgb="FF003E73"/>
      </left>
      <right/>
      <top style="thin">
        <color rgb="FF003E73"/>
      </top>
      <bottom style="thin">
        <color rgb="FF003E73"/>
      </bottom>
      <diagonal/>
    </border>
    <border>
      <left/>
      <right/>
      <top style="thin">
        <color rgb="FF003E73"/>
      </top>
      <bottom style="thin">
        <color rgb="FF003E73"/>
      </bottom>
      <diagonal/>
    </border>
    <border>
      <left/>
      <right style="thin">
        <color rgb="FF003E73"/>
      </right>
      <top style="thin">
        <color rgb="FF003E73"/>
      </top>
      <bottom style="thin">
        <color rgb="FF003E7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3" borderId="4" xfId="0" applyFont="1" applyFill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5" fillId="3" borderId="5" xfId="0" applyFont="1" applyFill="1" applyBorder="1" applyAlignment="1">
      <alignment vertical="top"/>
    </xf>
    <xf numFmtId="0" fontId="6" fillId="0" borderId="5" xfId="0" applyFont="1" applyBorder="1" applyAlignment="1">
      <alignment vertical="top" wrapText="1"/>
    </xf>
    <xf numFmtId="3" fontId="6" fillId="0" borderId="5" xfId="0" applyNumberFormat="1" applyFont="1" applyBorder="1" applyAlignment="1">
      <alignment vertical="top" wrapText="1"/>
    </xf>
    <xf numFmtId="165" fontId="6" fillId="0" borderId="5" xfId="0" applyNumberFormat="1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5" fillId="3" borderId="6" xfId="0" applyFont="1" applyFill="1" applyBorder="1" applyAlignment="1">
      <alignment vertical="top"/>
    </xf>
    <xf numFmtId="0" fontId="7" fillId="0" borderId="6" xfId="0" applyFont="1" applyBorder="1" applyAlignment="1">
      <alignment vertical="top" wrapText="1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lauStateData" displayName="PalauStateData" ref="A1:M17" totalsRowShown="0">
  <autoFilter ref="A1:M17" xr:uid="{00000000-0009-0000-0100-000001000000}"/>
  <tableColumns count="13">
    <tableColumn id="1" xr3:uid="{00000000-0010-0000-0000-000001000000}" name="County"/>
    <tableColumn id="2" xr3:uid="{00000000-0010-0000-0000-000002000000}" name="Feature Type"/>
    <tableColumn id="3" xr3:uid="{00000000-0010-0000-0000-000003000000}" name="Latitude"/>
    <tableColumn id="4" xr3:uid="{00000000-0010-0000-0000-000004000000}" name="Longitude"/>
    <tableColumn id="5" xr3:uid="{00000000-0010-0000-0000-000005000000}" name="2020 Population"/>
    <tableColumn id="6" xr3:uid="{00000000-0010-0000-0000-000006000000}" name="Land Area (km²)"/>
    <tableColumn id="7" xr3:uid="{00000000-0010-0000-0000-000007000000}" name="Land Area (m²)"/>
    <tableColumn id="8" xr3:uid="{00000000-0010-0000-0000-000008000000}" name="Land Area (mi²)"/>
    <tableColumn id="9" xr3:uid="{00000000-0010-0000-0000-000009000000}" name="Population Density (per km²)"/>
    <tableColumn id="10" xr3:uid="{00000000-0010-0000-0000-00000A000000}" name="Population Source URL"/>
    <tableColumn id="11" xr3:uid="{00000000-0010-0000-0000-00000B000000}" name="Area Source URL"/>
    <tableColumn id="12" xr3:uid="{00000000-0010-0000-0000-00000C000000}" name="Coordinate Source"/>
    <tableColumn id="13" xr3:uid="{00000000-0010-0000-00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showGridLines="0" tabSelected="1" workbookViewId="0"/>
  </sheetViews>
  <sheetFormatPr defaultRowHeight="14.4" x14ac:dyDescent="0.3"/>
  <cols>
    <col min="1" max="1" width="17" customWidth="1"/>
    <col min="2" max="2" width="13" style="1" customWidth="1"/>
    <col min="3" max="3" width="13" customWidth="1"/>
    <col min="4" max="5" width="14" customWidth="1"/>
    <col min="6" max="6" width="15" customWidth="1"/>
    <col min="7" max="7" width="16" customWidth="1"/>
    <col min="8" max="8" width="15" customWidth="1"/>
    <col min="9" max="9" width="22" customWidth="1"/>
    <col min="10" max="10" width="46" customWidth="1"/>
    <col min="11" max="11" width="44" customWidth="1"/>
    <col min="12" max="12" width="34" customWidth="1"/>
    <col min="13" max="13" width="46" customWidth="1"/>
  </cols>
  <sheetData>
    <row r="1" spans="1:13" ht="34.049999999999997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42" customHeight="1" x14ac:dyDescent="0.3">
      <c r="A2" s="5" t="s">
        <v>13</v>
      </c>
      <c r="B2" s="5" t="s">
        <v>14</v>
      </c>
      <c r="C2" s="6">
        <v>7.4436873932720298</v>
      </c>
      <c r="D2" s="6">
        <v>134.506312011929</v>
      </c>
      <c r="E2" s="7">
        <v>363</v>
      </c>
      <c r="F2" s="8">
        <v>37</v>
      </c>
      <c r="G2" s="7">
        <f t="shared" ref="G2:G17" si="0">F2*1000000</f>
        <v>37000000</v>
      </c>
      <c r="H2" s="9">
        <f t="shared" ref="H2:H17" si="1">F2/2.589988110336</f>
        <v>14.285779866070497</v>
      </c>
      <c r="I2" s="8">
        <f t="shared" ref="I2:I17" si="2">IFERROR(E2/F2,"")</f>
        <v>9.8108108108108105</v>
      </c>
      <c r="J2" s="10" t="s">
        <v>15</v>
      </c>
      <c r="K2" s="10" t="s">
        <v>16</v>
      </c>
      <c r="L2" s="10" t="s">
        <v>17</v>
      </c>
      <c r="M2" s="11"/>
    </row>
    <row r="3" spans="1:13" ht="42" customHeight="1" x14ac:dyDescent="0.3">
      <c r="A3" s="5" t="s">
        <v>18</v>
      </c>
      <c r="B3" s="5" t="s">
        <v>14</v>
      </c>
      <c r="C3" s="6">
        <v>7.3899341505762601</v>
      </c>
      <c r="D3" s="6">
        <v>134.555185992855</v>
      </c>
      <c r="E3" s="7">
        <v>2529</v>
      </c>
      <c r="F3" s="8">
        <v>49</v>
      </c>
      <c r="G3" s="7">
        <f t="shared" si="0"/>
        <v>49000000</v>
      </c>
      <c r="H3" s="9">
        <f t="shared" si="1"/>
        <v>18.919005768579847</v>
      </c>
      <c r="I3" s="8">
        <f t="shared" si="2"/>
        <v>51.612244897959187</v>
      </c>
      <c r="J3" s="10" t="s">
        <v>15</v>
      </c>
      <c r="K3" s="10" t="s">
        <v>16</v>
      </c>
      <c r="L3" s="10" t="s">
        <v>17</v>
      </c>
      <c r="M3" s="11"/>
    </row>
    <row r="4" spans="1:13" ht="42" customHeight="1" x14ac:dyDescent="0.3">
      <c r="A4" s="5" t="s">
        <v>19</v>
      </c>
      <c r="B4" s="5" t="s">
        <v>14</v>
      </c>
      <c r="C4" s="6">
        <v>6.9071056705510001</v>
      </c>
      <c r="D4" s="6">
        <v>134.13772847519999</v>
      </c>
      <c r="E4" s="7">
        <v>114</v>
      </c>
      <c r="F4" s="8">
        <v>8</v>
      </c>
      <c r="G4" s="7">
        <f t="shared" si="0"/>
        <v>8000000</v>
      </c>
      <c r="H4" s="9">
        <f t="shared" si="1"/>
        <v>3.0888172683395672</v>
      </c>
      <c r="I4" s="8">
        <f t="shared" si="2"/>
        <v>14.25</v>
      </c>
      <c r="J4" s="10" t="s">
        <v>15</v>
      </c>
      <c r="K4" s="10" t="s">
        <v>16</v>
      </c>
      <c r="L4" s="10" t="s">
        <v>17</v>
      </c>
      <c r="M4" s="11"/>
    </row>
    <row r="5" spans="1:13" ht="42" customHeight="1" x14ac:dyDescent="0.3">
      <c r="A5" s="5" t="s">
        <v>20</v>
      </c>
      <c r="B5" s="5" t="s">
        <v>14</v>
      </c>
      <c r="C5" s="6">
        <v>2.88680144025549</v>
      </c>
      <c r="D5" s="6">
        <v>131.78580157341199</v>
      </c>
      <c r="E5" s="7">
        <v>39</v>
      </c>
      <c r="F5" s="8">
        <v>0.7</v>
      </c>
      <c r="G5" s="7">
        <f t="shared" si="0"/>
        <v>700000</v>
      </c>
      <c r="H5" s="9">
        <f t="shared" si="1"/>
        <v>0.27027151097971208</v>
      </c>
      <c r="I5" s="8">
        <f t="shared" si="2"/>
        <v>55.714285714285715</v>
      </c>
      <c r="J5" s="10" t="s">
        <v>15</v>
      </c>
      <c r="K5" s="10" t="s">
        <v>16</v>
      </c>
      <c r="L5" s="10" t="s">
        <v>17</v>
      </c>
      <c r="M5" s="11"/>
    </row>
    <row r="6" spans="1:13" ht="42" customHeight="1" x14ac:dyDescent="0.3">
      <c r="A6" s="5" t="s">
        <v>21</v>
      </c>
      <c r="B6" s="5" t="s">
        <v>14</v>
      </c>
      <c r="C6" s="6">
        <v>8.0810662891526199</v>
      </c>
      <c r="D6" s="6">
        <v>134.71916096379999</v>
      </c>
      <c r="E6" s="7">
        <v>41</v>
      </c>
      <c r="F6" s="8">
        <v>1.7</v>
      </c>
      <c r="G6" s="7">
        <f t="shared" si="0"/>
        <v>1700000</v>
      </c>
      <c r="H6" s="9">
        <f t="shared" si="1"/>
        <v>0.65637366952215792</v>
      </c>
      <c r="I6" s="8">
        <f t="shared" si="2"/>
        <v>24.117647058823529</v>
      </c>
      <c r="J6" s="10" t="s">
        <v>15</v>
      </c>
      <c r="K6" s="10" t="s">
        <v>16</v>
      </c>
      <c r="L6" s="10" t="s">
        <v>17</v>
      </c>
      <c r="M6" s="11"/>
    </row>
    <row r="7" spans="1:13" ht="42" customHeight="1" x14ac:dyDescent="0.3">
      <c r="A7" s="5" t="s">
        <v>22</v>
      </c>
      <c r="B7" s="5" t="s">
        <v>14</v>
      </c>
      <c r="C7" s="6">
        <v>7.3402783463950598</v>
      </c>
      <c r="D7" s="6">
        <v>134.47716797529901</v>
      </c>
      <c r="E7" s="7">
        <v>11400</v>
      </c>
      <c r="F7" s="8">
        <v>58</v>
      </c>
      <c r="G7" s="7">
        <f t="shared" si="0"/>
        <v>58000000</v>
      </c>
      <c r="H7" s="9">
        <f t="shared" si="1"/>
        <v>22.393925195461861</v>
      </c>
      <c r="I7" s="8">
        <f t="shared" si="2"/>
        <v>196.55172413793105</v>
      </c>
      <c r="J7" s="10" t="s">
        <v>15</v>
      </c>
      <c r="K7" s="10" t="s">
        <v>16</v>
      </c>
      <c r="L7" s="10" t="s">
        <v>17</v>
      </c>
      <c r="M7" s="11"/>
    </row>
    <row r="8" spans="1:13" ht="42" customHeight="1" x14ac:dyDescent="0.3">
      <c r="A8" s="5" t="s">
        <v>23</v>
      </c>
      <c r="B8" s="5" t="s">
        <v>14</v>
      </c>
      <c r="C8" s="6">
        <v>7.5109695803430201</v>
      </c>
      <c r="D8" s="6">
        <v>134.59866047787901</v>
      </c>
      <c r="E8" s="7">
        <v>318</v>
      </c>
      <c r="F8" s="8">
        <v>25</v>
      </c>
      <c r="G8" s="7">
        <f t="shared" si="0"/>
        <v>25000000</v>
      </c>
      <c r="H8" s="9">
        <f t="shared" si="1"/>
        <v>9.6525539635611466</v>
      </c>
      <c r="I8" s="8">
        <f t="shared" si="2"/>
        <v>12.72</v>
      </c>
      <c r="J8" s="10" t="s">
        <v>15</v>
      </c>
      <c r="K8" s="10" t="s">
        <v>16</v>
      </c>
      <c r="L8" s="10" t="s">
        <v>17</v>
      </c>
      <c r="M8" s="11"/>
    </row>
    <row r="9" spans="1:13" ht="42" customHeight="1" x14ac:dyDescent="0.3">
      <c r="A9" s="5" t="s">
        <v>24</v>
      </c>
      <c r="B9" s="5" t="s">
        <v>14</v>
      </c>
      <c r="C9" s="6">
        <v>7.6086469709720896</v>
      </c>
      <c r="D9" s="6">
        <v>134.62806356477</v>
      </c>
      <c r="E9" s="7">
        <v>396</v>
      </c>
      <c r="F9" s="8">
        <v>29</v>
      </c>
      <c r="G9" s="7">
        <f t="shared" si="0"/>
        <v>29000000</v>
      </c>
      <c r="H9" s="9">
        <f t="shared" si="1"/>
        <v>11.196962597730931</v>
      </c>
      <c r="I9" s="8">
        <f t="shared" si="2"/>
        <v>13.655172413793103</v>
      </c>
      <c r="J9" s="10" t="s">
        <v>15</v>
      </c>
      <c r="K9" s="10" t="s">
        <v>16</v>
      </c>
      <c r="L9" s="10" t="s">
        <v>17</v>
      </c>
      <c r="M9" s="11"/>
    </row>
    <row r="10" spans="1:13" ht="42" customHeight="1" x14ac:dyDescent="0.3">
      <c r="A10" s="5" t="s">
        <v>25</v>
      </c>
      <c r="B10" s="5" t="s">
        <v>14</v>
      </c>
      <c r="C10" s="6">
        <v>7.7080692373321096</v>
      </c>
      <c r="D10" s="6">
        <v>134.630066454125</v>
      </c>
      <c r="E10" s="7">
        <v>384</v>
      </c>
      <c r="F10" s="8">
        <v>8</v>
      </c>
      <c r="G10" s="7">
        <f t="shared" si="0"/>
        <v>8000000</v>
      </c>
      <c r="H10" s="9">
        <f t="shared" si="1"/>
        <v>3.0888172683395672</v>
      </c>
      <c r="I10" s="8">
        <f t="shared" si="2"/>
        <v>48</v>
      </c>
      <c r="J10" s="10" t="s">
        <v>15</v>
      </c>
      <c r="K10" s="10" t="s">
        <v>16</v>
      </c>
      <c r="L10" s="10" t="s">
        <v>17</v>
      </c>
      <c r="M10" s="11" t="s">
        <v>26</v>
      </c>
    </row>
    <row r="11" spans="1:13" ht="42" customHeight="1" x14ac:dyDescent="0.3">
      <c r="A11" s="5" t="s">
        <v>27</v>
      </c>
      <c r="B11" s="5" t="s">
        <v>14</v>
      </c>
      <c r="C11" s="6">
        <v>7.5832171844326002</v>
      </c>
      <c r="D11" s="6">
        <v>134.57235503050501</v>
      </c>
      <c r="E11" s="7">
        <v>238</v>
      </c>
      <c r="F11" s="8">
        <v>30</v>
      </c>
      <c r="G11" s="7">
        <f t="shared" si="0"/>
        <v>30000000</v>
      </c>
      <c r="H11" s="9">
        <f t="shared" si="1"/>
        <v>11.583064756273377</v>
      </c>
      <c r="I11" s="8">
        <f t="shared" si="2"/>
        <v>7.9333333333333336</v>
      </c>
      <c r="J11" s="10" t="s">
        <v>15</v>
      </c>
      <c r="K11" s="10" t="s">
        <v>16</v>
      </c>
      <c r="L11" s="10" t="s">
        <v>17</v>
      </c>
      <c r="M11" s="11"/>
    </row>
    <row r="12" spans="1:13" ht="42" customHeight="1" x14ac:dyDescent="0.3">
      <c r="A12" s="5" t="s">
        <v>28</v>
      </c>
      <c r="B12" s="5" t="s">
        <v>14</v>
      </c>
      <c r="C12" s="6">
        <v>7.5313641802714599</v>
      </c>
      <c r="D12" s="6">
        <v>134.55032875334001</v>
      </c>
      <c r="E12" s="7">
        <v>349</v>
      </c>
      <c r="F12" s="8">
        <v>61</v>
      </c>
      <c r="G12" s="7">
        <f t="shared" si="0"/>
        <v>61000000</v>
      </c>
      <c r="H12" s="9">
        <f t="shared" si="1"/>
        <v>23.552231671089199</v>
      </c>
      <c r="I12" s="8">
        <f t="shared" si="2"/>
        <v>5.721311475409836</v>
      </c>
      <c r="J12" s="10" t="s">
        <v>15</v>
      </c>
      <c r="K12" s="10" t="s">
        <v>16</v>
      </c>
      <c r="L12" s="10" t="s">
        <v>17</v>
      </c>
      <c r="M12" s="11"/>
    </row>
    <row r="13" spans="1:13" ht="42" customHeight="1" x14ac:dyDescent="0.3">
      <c r="A13" s="5" t="s">
        <v>29</v>
      </c>
      <c r="B13" s="5" t="s">
        <v>14</v>
      </c>
      <c r="C13" s="6">
        <v>7.4659586420720201</v>
      </c>
      <c r="D13" s="6">
        <v>134.53944842362199</v>
      </c>
      <c r="E13" s="7">
        <v>289</v>
      </c>
      <c r="F13" s="8">
        <v>35</v>
      </c>
      <c r="G13" s="7">
        <f t="shared" si="0"/>
        <v>35000000</v>
      </c>
      <c r="H13" s="9">
        <f t="shared" si="1"/>
        <v>13.513575548985605</v>
      </c>
      <c r="I13" s="8">
        <f t="shared" si="2"/>
        <v>8.257142857142858</v>
      </c>
      <c r="J13" s="10" t="s">
        <v>15</v>
      </c>
      <c r="K13" s="10" t="s">
        <v>16</v>
      </c>
      <c r="L13" s="10" t="s">
        <v>17</v>
      </c>
      <c r="M13" s="11"/>
    </row>
    <row r="14" spans="1:13" ht="42" customHeight="1" x14ac:dyDescent="0.3">
      <c r="A14" s="5" t="s">
        <v>30</v>
      </c>
      <c r="B14" s="5" t="s">
        <v>14</v>
      </c>
      <c r="C14" s="6">
        <v>7.4562395453526502</v>
      </c>
      <c r="D14" s="6">
        <v>134.58473597781301</v>
      </c>
      <c r="E14" s="7">
        <v>319</v>
      </c>
      <c r="F14" s="8">
        <v>38</v>
      </c>
      <c r="G14" s="7">
        <f t="shared" si="0"/>
        <v>38000000</v>
      </c>
      <c r="H14" s="9">
        <f t="shared" si="1"/>
        <v>14.671882024612943</v>
      </c>
      <c r="I14" s="8">
        <f t="shared" si="2"/>
        <v>8.3947368421052637</v>
      </c>
      <c r="J14" s="10" t="s">
        <v>15</v>
      </c>
      <c r="K14" s="10" t="s">
        <v>16</v>
      </c>
      <c r="L14" s="10" t="s">
        <v>17</v>
      </c>
      <c r="M14" s="11"/>
    </row>
    <row r="15" spans="1:13" ht="42" customHeight="1" x14ac:dyDescent="0.3">
      <c r="A15" s="5" t="s">
        <v>31</v>
      </c>
      <c r="B15" s="5" t="s">
        <v>14</v>
      </c>
      <c r="C15" s="6">
        <v>7.5587157434593797</v>
      </c>
      <c r="D15" s="6">
        <v>134.61863825538899</v>
      </c>
      <c r="E15" s="7">
        <v>312</v>
      </c>
      <c r="F15" s="8">
        <v>16</v>
      </c>
      <c r="G15" s="7">
        <f t="shared" si="0"/>
        <v>16000000</v>
      </c>
      <c r="H15" s="9">
        <f t="shared" si="1"/>
        <v>6.1776345366791343</v>
      </c>
      <c r="I15" s="8">
        <f t="shared" si="2"/>
        <v>19.5</v>
      </c>
      <c r="J15" s="10" t="s">
        <v>15</v>
      </c>
      <c r="K15" s="10" t="s">
        <v>16</v>
      </c>
      <c r="L15" s="10" t="s">
        <v>17</v>
      </c>
      <c r="M15" s="11"/>
    </row>
    <row r="16" spans="1:13" ht="42" customHeight="1" x14ac:dyDescent="0.3">
      <c r="A16" s="5" t="s">
        <v>32</v>
      </c>
      <c r="B16" s="5" t="s">
        <v>14</v>
      </c>
      <c r="C16" s="6">
        <v>7.0054349487446199</v>
      </c>
      <c r="D16" s="6">
        <v>134.24495906769201</v>
      </c>
      <c r="E16" s="7">
        <v>470</v>
      </c>
      <c r="F16" s="8">
        <v>17</v>
      </c>
      <c r="G16" s="7">
        <f t="shared" si="0"/>
        <v>17000000</v>
      </c>
      <c r="H16" s="9">
        <f t="shared" si="1"/>
        <v>6.5637366952215794</v>
      </c>
      <c r="I16" s="8">
        <f t="shared" si="2"/>
        <v>27.647058823529413</v>
      </c>
      <c r="J16" s="10" t="s">
        <v>15</v>
      </c>
      <c r="K16" s="10" t="s">
        <v>16</v>
      </c>
      <c r="L16" s="10" t="s">
        <v>17</v>
      </c>
      <c r="M16" s="11"/>
    </row>
    <row r="17" spans="1:13" ht="42" customHeight="1" x14ac:dyDescent="0.3">
      <c r="A17" s="5" t="s">
        <v>33</v>
      </c>
      <c r="B17" s="5" t="s">
        <v>14</v>
      </c>
      <c r="C17" s="6">
        <v>5.3310000000000004</v>
      </c>
      <c r="D17" s="6">
        <v>132.22059999999999</v>
      </c>
      <c r="E17" s="7">
        <v>53</v>
      </c>
      <c r="F17" s="8">
        <v>3</v>
      </c>
      <c r="G17" s="7">
        <f t="shared" si="0"/>
        <v>3000000</v>
      </c>
      <c r="H17" s="9">
        <f t="shared" si="1"/>
        <v>1.1583064756273376</v>
      </c>
      <c r="I17" s="8">
        <f t="shared" si="2"/>
        <v>17.666666666666668</v>
      </c>
      <c r="J17" s="10" t="s">
        <v>15</v>
      </c>
      <c r="K17" s="10" t="s">
        <v>16</v>
      </c>
      <c r="L17" s="10" t="s">
        <v>34</v>
      </c>
      <c r="M17" s="1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/>
  </sheetViews>
  <sheetFormatPr defaultRowHeight="14.4" x14ac:dyDescent="0.3"/>
  <cols>
    <col min="1" max="1" width="28" customWidth="1"/>
    <col min="2" max="2" width="96" customWidth="1"/>
    <col min="3" max="4" width="4" customWidth="1"/>
  </cols>
  <sheetData>
    <row r="1" spans="1:4" ht="30" customHeight="1" x14ac:dyDescent="0.3">
      <c r="A1" s="21" t="s">
        <v>36</v>
      </c>
      <c r="B1" s="21"/>
      <c r="C1" s="21"/>
      <c r="D1" s="21"/>
    </row>
    <row r="3" spans="1:4" ht="15" customHeight="1" x14ac:dyDescent="0.3">
      <c r="A3" s="12" t="s">
        <v>37</v>
      </c>
      <c r="B3" s="13" t="s">
        <v>38</v>
      </c>
    </row>
    <row r="4" spans="1:4" ht="24" customHeight="1" x14ac:dyDescent="0.3">
      <c r="A4" s="14" t="s">
        <v>39</v>
      </c>
      <c r="B4" s="15" t="s">
        <v>40</v>
      </c>
    </row>
    <row r="5" spans="1:4" ht="15" customHeight="1" x14ac:dyDescent="0.3">
      <c r="A5" s="14" t="s">
        <v>41</v>
      </c>
      <c r="B5" s="15" t="s">
        <v>42</v>
      </c>
    </row>
    <row r="6" spans="1:4" ht="15" customHeight="1" x14ac:dyDescent="0.3">
      <c r="A6" s="14" t="s">
        <v>43</v>
      </c>
      <c r="B6" s="16">
        <f>SUM(State_Data!E2:E17)</f>
        <v>17614</v>
      </c>
    </row>
    <row r="7" spans="1:4" ht="24" customHeight="1" x14ac:dyDescent="0.3">
      <c r="A7" s="14" t="s">
        <v>44</v>
      </c>
      <c r="B7" s="15" t="s">
        <v>45</v>
      </c>
    </row>
    <row r="8" spans="1:4" ht="15" customHeight="1" x14ac:dyDescent="0.3">
      <c r="A8" s="14" t="s">
        <v>46</v>
      </c>
      <c r="B8" s="17">
        <f>SUM(State_Data!F2:F17)</f>
        <v>416.4</v>
      </c>
    </row>
    <row r="9" spans="1:4" ht="15" customHeight="1" x14ac:dyDescent="0.3">
      <c r="A9" s="14" t="s">
        <v>47</v>
      </c>
      <c r="B9" s="15" t="s">
        <v>48</v>
      </c>
    </row>
    <row r="10" spans="1:4" ht="15" customHeight="1" x14ac:dyDescent="0.3">
      <c r="A10" s="14" t="s">
        <v>49</v>
      </c>
      <c r="B10" s="15" t="s">
        <v>50</v>
      </c>
    </row>
    <row r="11" spans="1:4" ht="15" customHeight="1" x14ac:dyDescent="0.3">
      <c r="A11" s="14" t="s">
        <v>51</v>
      </c>
      <c r="B11" s="15" t="s">
        <v>52</v>
      </c>
    </row>
    <row r="12" spans="1:4" ht="15" customHeight="1" x14ac:dyDescent="0.3">
      <c r="A12" s="14" t="s">
        <v>53</v>
      </c>
      <c r="B12" s="15" t="s">
        <v>54</v>
      </c>
    </row>
    <row r="13" spans="1:4" ht="15" customHeight="1" x14ac:dyDescent="0.3">
      <c r="A13" s="14"/>
      <c r="B13" s="15"/>
    </row>
    <row r="14" spans="1:4" ht="15" customHeight="1" x14ac:dyDescent="0.3">
      <c r="A14" s="14" t="s">
        <v>9</v>
      </c>
      <c r="B14" s="18" t="s">
        <v>15</v>
      </c>
    </row>
    <row r="15" spans="1:4" ht="15" customHeight="1" x14ac:dyDescent="0.3">
      <c r="A15" s="14" t="s">
        <v>10</v>
      </c>
      <c r="B15" s="18" t="s">
        <v>16</v>
      </c>
    </row>
    <row r="16" spans="1:4" ht="15" customHeight="1" x14ac:dyDescent="0.3">
      <c r="A16" s="19" t="s">
        <v>55</v>
      </c>
      <c r="B16" s="20" t="s">
        <v>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Tippins, Ashley (CDC/NCIRD/ISD)</dc:creator>
  <cp:lastModifiedBy>Tippins, Ashley (CDC/NCIRD/ISD)</cp:lastModifiedBy>
  <dcterms:created xsi:type="dcterms:W3CDTF">2026-08-18T16:44:24Z</dcterms:created>
  <dcterms:modified xsi:type="dcterms:W3CDTF">2026-08-18T16:44:24Z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2026-08-18T16:43:07Z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949c3001-e6c6-4d95-a173-1889fc516a47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