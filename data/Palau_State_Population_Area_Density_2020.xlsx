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995aeeb14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_Data" sheetId="1" r:id="Rdb903f3a18ca4a88"/>
    <x:sheet xmlns:r="http://schemas.openxmlformats.org/officeDocument/2006/relationships" name="README" sheetId="2" r:id="R908f22675539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#,##0"/>
    <x:numFmt numFmtId="202" formatCode="0.0"/>
    <x:numFmt numFmtId="203" formatCode="0.00"/>
  </x:numFmts>
  <x:fonts count="10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0"/>
      <x:color rgb="FFFFFFFF"/>
      <x:name val="Aptos Narrow"/>
    </x:font>
    <x:font>
      <x:b/>
      <x:sz val="10"/>
      <x:color rgb="FFFFFFFF"/>
      <x:name val="Aptos"/>
    </x:font>
    <x:font>
      <x:sz val="10"/>
      <x:color theme="1"/>
      <x:name val="Aptos"/>
    </x:font>
    <x:font>
      <x:sz val="8"/>
      <x:color rgb="FF1F4E79"/>
      <x:name val="Aptos"/>
    </x:font>
    <x:font>
      <x:b/>
      <x:sz val="16"/>
      <x:color rgb="FFFFFFFF"/>
      <x:name val="Aptos Display"/>
    </x:font>
    <x:font>
      <x:b/>
      <x:sz val="10"/>
      <x:color rgb="FF003E73"/>
      <x:name val="Aptos"/>
    </x:font>
    <x:font>
      <x:sz val="10"/>
      <x:color rgb="FF222222"/>
      <x:name val="Aptos"/>
    </x:font>
    <x:font>
      <x:sz val="9"/>
      <x:color rgb="FF1F4E7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05EA8"/>
      </x:patternFill>
    </x:fill>
    <x:fill>
      <x:patternFill patternType="solid">
        <x:fgColor rgb="FFE7F2F8"/>
      </x:patternFill>
    </x:fill>
  </x:fills>
  <x:borders count="7">
    <x:border/>
    <x:border>
      <x:left style="thin">
        <x:color rgb="FF003E73"/>
      </x:left>
      <x:top style="thin">
        <x:color rgb="FF003E73"/>
      </x:top>
      <x:bottom style="thin">
        <x:color rgb="FF003E73"/>
      </x:bottom>
    </x:border>
    <x:border>
      <x:top style="thin">
        <x:color rgb="FF003E73"/>
      </x:top>
      <x:bottom style="thin">
        <x:color rgb="FF003E73"/>
      </x:bottom>
    </x:border>
    <x:border>
      <x:right style="thin">
        <x:color rgb="FF003E73"/>
      </x:right>
      <x:top style="thin">
        <x:color rgb="FF003E73"/>
      </x:top>
      <x:bottom style="thin">
        <x:color rgb="FF003E7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left"/>
    </x:xf>
    <x:xf numFmtId="0" fontId="0" fillId="0" borderId="0" xfId="0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 applyAlignment="1">
      <x:alignment horizontal="right"/>
    </x:xf>
    <x:xf numFmtId="203" fontId="4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/>
    </x:xf>
    <x:xf numFmtId="0" fontId="8" fillId="0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/>
    </x:xf>
    <x:xf numFmtId="0" fontId="8" fillId="0" borderId="5" xfId="0" applyNumberFormat="1" applyFont="1" applyFill="1" applyBorder="1" applyAlignment="1">
      <x:alignment vertical="top" wrapText="1"/>
    </x:xf>
    <x:xf numFmtId="201" fontId="8" fillId="0" borderId="5" xfId="0" applyNumberFormat="1" applyFont="1" applyFill="1" applyBorder="1" applyAlignment="1">
      <x:alignment vertical="top" wrapText="1"/>
    </x:xf>
    <x:xf numFmtId="202" fontId="8" fillId="0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a57b598e64cca" /><Relationship Type="http://schemas.openxmlformats.org/officeDocument/2006/relationships/theme" Target="/xl/theme/theme1.xml" Id="R029cfe2359d64b44" /><Relationship Type="http://schemas.openxmlformats.org/officeDocument/2006/relationships/sharedStrings" Target="/xl/sharedStrings.xml" Id="R8050852841a94ddf" /><Relationship Type="http://schemas.openxmlformats.org/officeDocument/2006/relationships/worksheet" Target="/xl/worksheets/sheet1.xml" Id="Rdb903f3a18ca4a88" /><Relationship Type="http://schemas.openxmlformats.org/officeDocument/2006/relationships/worksheet" Target="/xl/worksheets/sheet2.xml" Id="R908f226755394384" /></Relationships>
</file>

<file path=xl/tables/table1.xml><?xml version="1.0" encoding="utf-8"?>
<x:table xmlns:x="http://schemas.openxmlformats.org/spreadsheetml/2006/main" id="1" name="PalauStateData" displayName="PalauStateData" ref="A1:M17" headerRowCount="1" totalsRowCount="0" totalsRowShown="0">
  <x:autoFilter ref="A1:M17"/>
  <x:tableColumns count="13">
    <x:tableColumn id="1" name="County"/>
    <x:tableColumn id="2" name="Feature Type"/>
    <x:tableColumn id="3" name="Latitude"/>
    <x:tableColumn id="4" name="Longitude"/>
    <x:tableColumn id="5" name="2020 Population"/>
    <x:tableColumn id="6" name="Land Area (km²)"/>
    <x:tableColumn id="7" name="Land Area (m²)"/>
    <x:tableColumn id="8" name="Land Area (mi²)"/>
    <x:tableColumn id="9" name="Population Density (per km²)"/>
    <x:tableColumn id="10" name="Population Source URL"/>
    <x:tableColumn id="11" name="Area Source URL"/>
    <x:tableColumn id="12" name="Coordinate Sourc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9ff30b30d14d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7" hidden="0" customWidth="1"/>
    <x:col min="2" max="2" width="13" style="3" hidden="0" customWidth="1"/>
    <x:col min="3" max="3" width="13" hidden="0" customWidth="1"/>
    <x:col min="4" max="4" width="14" hidden="0" customWidth="1"/>
    <x:col min="5" max="5" width="14" hidden="0" customWidth="1"/>
    <x:col min="6" max="6" width="15" hidden="0" customWidth="1"/>
    <x:col min="7" max="7" width="16" hidden="0" customWidth="1"/>
    <x:col min="8" max="8" width="15" hidden="0" customWidth="1"/>
    <x:col min="9" max="9" width="22" hidden="0" customWidth="1"/>
    <x:col min="10" max="10" width="46" hidden="0" customWidth="1"/>
    <x:col min="11" max="11" width="44" hidden="0" customWidth="1"/>
    <x:col min="12" max="12" width="34" hidden="0" customWidth="1"/>
    <x:col min="13" max="13" width="46" hidden="0" customWidth="1"/>
  </x:cols>
  <x:sheetData>
    <x:row r="1" ht="34" customHeight="1">
      <x:c r="A1" s="15" t="str">
        <x:v>County</x:v>
      </x:c>
      <x:c r="B1" s="16" t="str">
        <x:v>Feature Type</x:v>
      </x:c>
      <x:c r="C1" s="16" t="str">
        <x:v>Latitude</x:v>
      </x:c>
      <x:c r="D1" s="16" t="str">
        <x:v>Longitude</x:v>
      </x:c>
      <x:c r="E1" s="16" t="str">
        <x:v>2020 Population</x:v>
      </x:c>
      <x:c r="F1" s="16" t="str">
        <x:v>Land Area (km²)</x:v>
      </x:c>
      <x:c r="G1" s="16" t="str">
        <x:v>Land Area (m²)</x:v>
      </x:c>
      <x:c r="H1" s="16" t="str">
        <x:v>Land Area (mi²)</x:v>
      </x:c>
      <x:c r="I1" s="16" t="str">
        <x:v>Population Density (per km²)</x:v>
      </x:c>
      <x:c r="J1" s="16" t="str">
        <x:v>Population Source URL</x:v>
      </x:c>
      <x:c r="K1" s="16" t="str">
        <x:v>Area Source URL</x:v>
      </x:c>
      <x:c r="L1" s="16" t="str">
        <x:v>Coordinate Source</x:v>
      </x:c>
      <x:c r="M1" s="17" t="str">
        <x:v>Notes</x:v>
      </x:c>
    </x:row>
    <x:row r="2" ht="42" customHeight="1">
      <x:c r="A2" s="28" t="str">
        <x:v>AIMELIIK</x:v>
      </x:c>
      <x:c r="B2" s="28" t="str">
        <x:v>State</x:v>
      </x:c>
      <x:c r="C2" s="29" t="n">
        <x:v>7.44368739327203</x:v>
      </x:c>
      <x:c r="D2" s="29" t="n">
        <x:v>134.506312011929</x:v>
      </x:c>
      <x:c r="E2" s="30" t="n">
        <x:v>363</x:v>
      </x:c>
      <x:c r="F2" s="31" t="n">
        <x:v>37</x:v>
      </x:c>
      <x:c r="G2" s="30" t="n">
        <x:f>F2*1000000</x:f>
        <x:v>37000000</x:v>
      </x:c>
      <x:c r="H2" s="32" t="n">
        <x:f>F2/2.589988110336</x:f>
        <x:v>14.285779866070497</x:v>
      </x:c>
      <x:c r="I2" s="31" t="n">
        <x:f>IFERROR(E2/F2,"")</x:f>
        <x:v>9.81081081081081</x:v>
      </x:c>
      <x:c r="J2" s="33" t="str">
        <x:v>https://www.palaugov.pw/executive-branch/ministries/finance/budgetandplanning/population-census/</x:v>
      </x:c>
      <x:c r="K2" s="33" t="str">
        <x:v>https://palaugov.pw/wp-content/uploads/2018/07/2017-Statistical-Yearbook.pdf</x:v>
      </x:c>
      <x:c r="L2" s="33" t="str">
        <x:v>Palau_County Coordinates.xlsx</x:v>
      </x:c>
      <x:c r="M2" s="34" t="str"/>
    </x:row>
    <x:row r="3" ht="42" customHeight="1">
      <x:c r="A3" s="28" t="str">
        <x:v>AIRAI</x:v>
      </x:c>
      <x:c r="B3" s="28" t="str">
        <x:v>State</x:v>
      </x:c>
      <x:c r="C3" s="29" t="n">
        <x:v>7.38993415057626</x:v>
      </x:c>
      <x:c r="D3" s="29" t="n">
        <x:v>134.555185992855</x:v>
      </x:c>
      <x:c r="E3" s="30" t="n">
        <x:v>2529</x:v>
      </x:c>
      <x:c r="F3" s="31" t="n">
        <x:v>49</x:v>
      </x:c>
      <x:c r="G3" s="30" t="n">
        <x:f>F3*1000000</x:f>
        <x:v>49000000</x:v>
      </x:c>
      <x:c r="H3" s="32" t="n">
        <x:f>F3/2.589988110336</x:f>
        <x:v>18.919005768579847</x:v>
      </x:c>
      <x:c r="I3" s="31" t="n">
        <x:f>IFERROR(E3/F3,"")</x:f>
        <x:v>51.61224489795919</x:v>
      </x:c>
      <x:c r="J3" s="33" t="str">
        <x:v>https://www.palaugov.pw/executive-branch/ministries/finance/budgetandplanning/population-census/</x:v>
      </x:c>
      <x:c r="K3" s="33" t="str">
        <x:v>https://palaugov.pw/wp-content/uploads/2018/07/2017-Statistical-Yearbook.pdf</x:v>
      </x:c>
      <x:c r="L3" s="33" t="str">
        <x:v>Palau_County Coordinates.xlsx</x:v>
      </x:c>
      <x:c r="M3" s="34" t="str"/>
    </x:row>
    <x:row r="4" ht="42" customHeight="1">
      <x:c r="A4" s="28" t="str">
        <x:v>ANGAUR</x:v>
      </x:c>
      <x:c r="B4" s="28" t="str">
        <x:v>State</x:v>
      </x:c>
      <x:c r="C4" s="29" t="n">
        <x:v>6.907105670551</x:v>
      </x:c>
      <x:c r="D4" s="29" t="n">
        <x:v>134.1377284752</x:v>
      </x:c>
      <x:c r="E4" s="30" t="n">
        <x:v>114</x:v>
      </x:c>
      <x:c r="F4" s="31" t="n">
        <x:v>8</x:v>
      </x:c>
      <x:c r="G4" s="30" t="n">
        <x:f>F4*1000000</x:f>
        <x:v>8000000</x:v>
      </x:c>
      <x:c r="H4" s="32" t="n">
        <x:f>F4/2.589988110336</x:f>
        <x:v>3.088817268339567</x:v>
      </x:c>
      <x:c r="I4" s="31" t="n">
        <x:f>IFERROR(E4/F4,"")</x:f>
        <x:v>14.25</x:v>
      </x:c>
      <x:c r="J4" s="33" t="str">
        <x:v>https://www.palaugov.pw/executive-branch/ministries/finance/budgetandplanning/population-census/</x:v>
      </x:c>
      <x:c r="K4" s="33" t="str">
        <x:v>https://palaugov.pw/wp-content/uploads/2018/07/2017-Statistical-Yearbook.pdf</x:v>
      </x:c>
      <x:c r="L4" s="33" t="str">
        <x:v>Palau_County Coordinates.xlsx</x:v>
      </x:c>
      <x:c r="M4" s="34" t="str"/>
    </x:row>
    <x:row r="5" ht="42" customHeight="1">
      <x:c r="A5" s="28" t="str">
        <x:v>HATOHOBEI</x:v>
      </x:c>
      <x:c r="B5" s="28" t="str">
        <x:v>State</x:v>
      </x:c>
      <x:c r="C5" s="29" t="n">
        <x:v>2.88680144025549</x:v>
      </x:c>
      <x:c r="D5" s="29" t="n">
        <x:v>131.785801573412</x:v>
      </x:c>
      <x:c r="E5" s="30" t="n">
        <x:v>39</x:v>
      </x:c>
      <x:c r="F5" s="31" t="n">
        <x:v>0.7</x:v>
      </x:c>
      <x:c r="G5" s="30" t="n">
        <x:f>F5*1000000</x:f>
        <x:v>700000</x:v>
      </x:c>
      <x:c r="H5" s="32" t="n">
        <x:f>F5/2.589988110336</x:f>
        <x:v>0.2702715109797121</x:v>
      </x:c>
      <x:c r="I5" s="31" t="n">
        <x:f>IFERROR(E5/F5,"")</x:f>
        <x:v>55.714285714285715</x:v>
      </x:c>
      <x:c r="J5" s="33" t="str">
        <x:v>https://www.palaugov.pw/executive-branch/ministries/finance/budgetandplanning/population-census/</x:v>
      </x:c>
      <x:c r="K5" s="33" t="str">
        <x:v>https://palaugov.pw/wp-content/uploads/2018/07/2017-Statistical-Yearbook.pdf</x:v>
      </x:c>
      <x:c r="L5" s="33" t="str">
        <x:v>Palau_County Coordinates.xlsx</x:v>
      </x:c>
      <x:c r="M5" s="34" t="str"/>
    </x:row>
    <x:row r="6" ht="42" customHeight="1">
      <x:c r="A6" s="28" t="str">
        <x:v>KAYANGEL</x:v>
      </x:c>
      <x:c r="B6" s="28" t="str">
        <x:v>State</x:v>
      </x:c>
      <x:c r="C6" s="29" t="n">
        <x:v>8.08106628915262</x:v>
      </x:c>
      <x:c r="D6" s="29" t="n">
        <x:v>134.7191609638</x:v>
      </x:c>
      <x:c r="E6" s="30" t="n">
        <x:v>41</x:v>
      </x:c>
      <x:c r="F6" s="31" t="n">
        <x:v>1.7</x:v>
      </x:c>
      <x:c r="G6" s="30" t="n">
        <x:f>F6*1000000</x:f>
        <x:v>1700000</x:v>
      </x:c>
      <x:c r="H6" s="32" t="n">
        <x:f>F6/2.589988110336</x:f>
        <x:v>0.6563736695221579</x:v>
      </x:c>
      <x:c r="I6" s="31" t="n">
        <x:f>IFERROR(E6/F6,"")</x:f>
        <x:v>24.11764705882353</x:v>
      </x:c>
      <x:c r="J6" s="33" t="str">
        <x:v>https://www.palaugov.pw/executive-branch/ministries/finance/budgetandplanning/population-census/</x:v>
      </x:c>
      <x:c r="K6" s="33" t="str">
        <x:v>https://palaugov.pw/wp-content/uploads/2018/07/2017-Statistical-Yearbook.pdf</x:v>
      </x:c>
      <x:c r="L6" s="33" t="str">
        <x:v>Palau_County Coordinates.xlsx</x:v>
      </x:c>
      <x:c r="M6" s="34" t="str"/>
    </x:row>
    <x:row r="7" ht="42" customHeight="1">
      <x:c r="A7" s="28" t="str">
        <x:v>KOROR</x:v>
      </x:c>
      <x:c r="B7" s="28" t="str">
        <x:v>State</x:v>
      </x:c>
      <x:c r="C7" s="29" t="n">
        <x:v>7.34027834639506</x:v>
      </x:c>
      <x:c r="D7" s="29" t="n">
        <x:v>134.477167975299</x:v>
      </x:c>
      <x:c r="E7" s="30" t="n">
        <x:v>11400</x:v>
      </x:c>
      <x:c r="F7" s="31" t="n">
        <x:v>58</x:v>
      </x:c>
      <x:c r="G7" s="30" t="n">
        <x:f>F7*1000000</x:f>
        <x:v>58000000</x:v>
      </x:c>
      <x:c r="H7" s="32" t="n">
        <x:f>F7/2.589988110336</x:f>
        <x:v>22.39392519546186</x:v>
      </x:c>
      <x:c r="I7" s="31" t="n">
        <x:f>IFERROR(E7/F7,"")</x:f>
        <x:v>196.55172413793105</x:v>
      </x:c>
      <x:c r="J7" s="33" t="str">
        <x:v>https://www.palaugov.pw/executive-branch/ministries/finance/budgetandplanning/population-census/</x:v>
      </x:c>
      <x:c r="K7" s="33" t="str">
        <x:v>https://palaugov.pw/wp-content/uploads/2018/07/2017-Statistical-Yearbook.pdf</x:v>
      </x:c>
      <x:c r="L7" s="33" t="str">
        <x:v>Palau_County Coordinates.xlsx</x:v>
      </x:c>
      <x:c r="M7" s="34" t="str"/>
    </x:row>
    <x:row r="8" ht="42" customHeight="1">
      <x:c r="A8" s="28" t="str">
        <x:v>MELEKEOK</x:v>
      </x:c>
      <x:c r="B8" s="28" t="str">
        <x:v>State</x:v>
      </x:c>
      <x:c r="C8" s="29" t="n">
        <x:v>7.51096958034302</x:v>
      </x:c>
      <x:c r="D8" s="29" t="n">
        <x:v>134.598660477879</x:v>
      </x:c>
      <x:c r="E8" s="30" t="n">
        <x:v>318</x:v>
      </x:c>
      <x:c r="F8" s="31" t="n">
        <x:v>25</x:v>
      </x:c>
      <x:c r="G8" s="30" t="n">
        <x:f>F8*1000000</x:f>
        <x:v>25000000</x:v>
      </x:c>
      <x:c r="H8" s="32" t="n">
        <x:f>F8/2.589988110336</x:f>
        <x:v>9.652553963561147</x:v>
      </x:c>
      <x:c r="I8" s="31" t="n">
        <x:f>IFERROR(E8/F8,"")</x:f>
        <x:v>12.72</x:v>
      </x:c>
      <x:c r="J8" s="33" t="str">
        <x:v>https://www.palaugov.pw/executive-branch/ministries/finance/budgetandplanning/population-census/</x:v>
      </x:c>
      <x:c r="K8" s="33" t="str">
        <x:v>https://palaugov.pw/wp-content/uploads/2018/07/2017-Statistical-Yearbook.pdf</x:v>
      </x:c>
      <x:c r="L8" s="33" t="str">
        <x:v>Palau_County Coordinates.xlsx</x:v>
      </x:c>
      <x:c r="M8" s="34" t="str"/>
    </x:row>
    <x:row r="9" ht="42" customHeight="1">
      <x:c r="A9" s="28" t="str">
        <x:v>NGARAARD</x:v>
      </x:c>
      <x:c r="B9" s="28" t="str">
        <x:v>State</x:v>
      </x:c>
      <x:c r="C9" s="29" t="n">
        <x:v>7.60864697097209</x:v>
      </x:c>
      <x:c r="D9" s="29" t="n">
        <x:v>134.62806356477</x:v>
      </x:c>
      <x:c r="E9" s="30" t="n">
        <x:v>396</x:v>
      </x:c>
      <x:c r="F9" s="31" t="n">
        <x:v>29</x:v>
      </x:c>
      <x:c r="G9" s="30" t="n">
        <x:f>F9*1000000</x:f>
        <x:v>29000000</x:v>
      </x:c>
      <x:c r="H9" s="32" t="n">
        <x:f>F9/2.589988110336</x:f>
        <x:v>11.19696259773093</x:v>
      </x:c>
      <x:c r="I9" s="31" t="n">
        <x:f>IFERROR(E9/F9,"")</x:f>
        <x:v>13.655172413793103</x:v>
      </x:c>
      <x:c r="J9" s="33" t="str">
        <x:v>https://www.palaugov.pw/executive-branch/ministries/finance/budgetandplanning/population-census/</x:v>
      </x:c>
      <x:c r="K9" s="33" t="str">
        <x:v>https://palaugov.pw/wp-content/uploads/2018/07/2017-Statistical-Yearbook.pdf</x:v>
      </x:c>
      <x:c r="L9" s="33" t="str">
        <x:v>Palau_County Coordinates.xlsx</x:v>
      </x:c>
      <x:c r="M9" s="34" t="str"/>
    </x:row>
    <x:row r="10" ht="42" customHeight="1">
      <x:c r="A10" s="28" t="str">
        <x:v>NGARCHELONG</x:v>
      </x:c>
      <x:c r="B10" s="28" t="str">
        <x:v>State</x:v>
      </x:c>
      <x:c r="C10" s="29" t="n">
        <x:v>7.70806923733211</x:v>
      </x:c>
      <x:c r="D10" s="29" t="n">
        <x:v>134.630066454125</x:v>
      </x:c>
      <x:c r="E10" s="30" t="n">
        <x:v>384</x:v>
      </x:c>
      <x:c r="F10" s="31" t="n">
        <x:v>8</x:v>
      </x:c>
      <x:c r="G10" s="30" t="n">
        <x:f>F10*1000000</x:f>
        <x:v>8000000</x:v>
      </x:c>
      <x:c r="H10" s="32" t="n">
        <x:f>F10/2.589988110336</x:f>
        <x:v>3.088817268339567</x:v>
      </x:c>
      <x:c r="I10" s="31" t="n">
        <x:f>IFERROR(E10/F10,"")</x:f>
        <x:v>48</x:v>
      </x:c>
      <x:c r="J10" s="33" t="str">
        <x:v>https://www.palaugov.pw/executive-branch/ministries/finance/budgetandplanning/population-census/</x:v>
      </x:c>
      <x:c r="K10" s="33" t="str">
        <x:v>https://palaugov.pw/wp-content/uploads/2018/07/2017-Statistical-Yearbook.pdf</x:v>
      </x:c>
      <x:c r="L10" s="33" t="str">
        <x:v>Palau_County Coordinates.xlsx</x:v>
      </x:c>
      <x:c r="M10" s="34" t="str">
        <x:v>Spelling from the uploaded coordinate workbook retained for joins; official sources also use Ngarchelong/Ngerchelong.</x:v>
      </x:c>
    </x:row>
    <x:row r="11" ht="42" customHeight="1">
      <x:c r="A11" s="28" t="str">
        <x:v>NGARDMAU</x:v>
      </x:c>
      <x:c r="B11" s="28" t="str">
        <x:v>State</x:v>
      </x:c>
      <x:c r="C11" s="29" t="n">
        <x:v>7.5832171844326</x:v>
      </x:c>
      <x:c r="D11" s="29" t="n">
        <x:v>134.572355030505</x:v>
      </x:c>
      <x:c r="E11" s="30" t="n">
        <x:v>238</x:v>
      </x:c>
      <x:c r="F11" s="31" t="n">
        <x:v>30</x:v>
      </x:c>
      <x:c r="G11" s="30" t="n">
        <x:f>F11*1000000</x:f>
        <x:v>30000000</x:v>
      </x:c>
      <x:c r="H11" s="32" t="n">
        <x:f>F11/2.589988110336</x:f>
        <x:v>11.583064756273377</x:v>
      </x:c>
      <x:c r="I11" s="31" t="n">
        <x:f>IFERROR(E11/F11,"")</x:f>
        <x:v>7.933333333333334</x:v>
      </x:c>
      <x:c r="J11" s="33" t="str">
        <x:v>https://www.palaugov.pw/executive-branch/ministries/finance/budgetandplanning/population-census/</x:v>
      </x:c>
      <x:c r="K11" s="33" t="str">
        <x:v>https://palaugov.pw/wp-content/uploads/2018/07/2017-Statistical-Yearbook.pdf</x:v>
      </x:c>
      <x:c r="L11" s="33" t="str">
        <x:v>Palau_County Coordinates.xlsx</x:v>
      </x:c>
      <x:c r="M11" s="34" t="str"/>
    </x:row>
    <x:row r="12" ht="42" customHeight="1">
      <x:c r="A12" s="28" t="str">
        <x:v>NGAREMLENGUI</x:v>
      </x:c>
      <x:c r="B12" s="28" t="str">
        <x:v>State</x:v>
      </x:c>
      <x:c r="C12" s="29" t="n">
        <x:v>7.53136418027146</x:v>
      </x:c>
      <x:c r="D12" s="29" t="n">
        <x:v>134.55032875334</x:v>
      </x:c>
      <x:c r="E12" s="30" t="n">
        <x:v>349</x:v>
      </x:c>
      <x:c r="F12" s="31" t="n">
        <x:v>61</x:v>
      </x:c>
      <x:c r="G12" s="30" t="n">
        <x:f>F12*1000000</x:f>
        <x:v>61000000</x:v>
      </x:c>
      <x:c r="H12" s="32" t="n">
        <x:f>F12/2.589988110336</x:f>
        <x:v>23.5522316710892</x:v>
      </x:c>
      <x:c r="I12" s="31" t="n">
        <x:f>IFERROR(E12/F12,"")</x:f>
        <x:v>5.721311475409836</x:v>
      </x:c>
      <x:c r="J12" s="33" t="str">
        <x:v>https://www.palaugov.pw/executive-branch/ministries/finance/budgetandplanning/population-census/</x:v>
      </x:c>
      <x:c r="K12" s="33" t="str">
        <x:v>https://palaugov.pw/wp-content/uploads/2018/07/2017-Statistical-Yearbook.pdf</x:v>
      </x:c>
      <x:c r="L12" s="33" t="str">
        <x:v>Palau_County Coordinates.xlsx</x:v>
      </x:c>
      <x:c r="M12" s="34" t="str"/>
    </x:row>
    <x:row r="13" ht="42" customHeight="1">
      <x:c r="A13" s="28" t="str">
        <x:v>NGATPANG</x:v>
      </x:c>
      <x:c r="B13" s="28" t="str">
        <x:v>State</x:v>
      </x:c>
      <x:c r="C13" s="29" t="n">
        <x:v>7.46595864207202</x:v>
      </x:c>
      <x:c r="D13" s="29" t="n">
        <x:v>134.539448423622</x:v>
      </x:c>
      <x:c r="E13" s="30" t="n">
        <x:v>289</x:v>
      </x:c>
      <x:c r="F13" s="31" t="n">
        <x:v>35</x:v>
      </x:c>
      <x:c r="G13" s="30" t="n">
        <x:f>F13*1000000</x:f>
        <x:v>35000000</x:v>
      </x:c>
      <x:c r="H13" s="32" t="n">
        <x:f>F13/2.589988110336</x:f>
        <x:v>13.513575548985605</x:v>
      </x:c>
      <x:c r="I13" s="31" t="n">
        <x:f>IFERROR(E13/F13,"")</x:f>
        <x:v>8.257142857142858</x:v>
      </x:c>
      <x:c r="J13" s="33" t="str">
        <x:v>https://www.palaugov.pw/executive-branch/ministries/finance/budgetandplanning/population-census/</x:v>
      </x:c>
      <x:c r="K13" s="33" t="str">
        <x:v>https://palaugov.pw/wp-content/uploads/2018/07/2017-Statistical-Yearbook.pdf</x:v>
      </x:c>
      <x:c r="L13" s="33" t="str">
        <x:v>Palau_County Coordinates.xlsx</x:v>
      </x:c>
      <x:c r="M13" s="34" t="str"/>
    </x:row>
    <x:row r="14" ht="42" customHeight="1">
      <x:c r="A14" s="28" t="str">
        <x:v>NGCHESAR</x:v>
      </x:c>
      <x:c r="B14" s="28" t="str">
        <x:v>State</x:v>
      </x:c>
      <x:c r="C14" s="29" t="n">
        <x:v>7.45623954535265</x:v>
      </x:c>
      <x:c r="D14" s="29" t="n">
        <x:v>134.584735977813</x:v>
      </x:c>
      <x:c r="E14" s="30" t="n">
        <x:v>319</x:v>
      </x:c>
      <x:c r="F14" s="31" t="n">
        <x:v>38</x:v>
      </x:c>
      <x:c r="G14" s="30" t="n">
        <x:f>F14*1000000</x:f>
        <x:v>38000000</x:v>
      </x:c>
      <x:c r="H14" s="32" t="n">
        <x:f>F14/2.589988110336</x:f>
        <x:v>14.671882024612943</x:v>
      </x:c>
      <x:c r="I14" s="31" t="n">
        <x:f>IFERROR(E14/F14,"")</x:f>
        <x:v>8.394736842105264</x:v>
      </x:c>
      <x:c r="J14" s="33" t="str">
        <x:v>https://www.palaugov.pw/executive-branch/ministries/finance/budgetandplanning/population-census/</x:v>
      </x:c>
      <x:c r="K14" s="33" t="str">
        <x:v>https://palaugov.pw/wp-content/uploads/2018/07/2017-Statistical-Yearbook.pdf</x:v>
      </x:c>
      <x:c r="L14" s="33" t="str">
        <x:v>Palau_County Coordinates.xlsx</x:v>
      </x:c>
      <x:c r="M14" s="34" t="str"/>
    </x:row>
    <x:row r="15" ht="42" customHeight="1">
      <x:c r="A15" s="28" t="str">
        <x:v>NGIWAL</x:v>
      </x:c>
      <x:c r="B15" s="28" t="str">
        <x:v>State</x:v>
      </x:c>
      <x:c r="C15" s="29" t="n">
        <x:v>7.55871574345938</x:v>
      </x:c>
      <x:c r="D15" s="29" t="n">
        <x:v>134.618638255389</x:v>
      </x:c>
      <x:c r="E15" s="30" t="n">
        <x:v>312</x:v>
      </x:c>
      <x:c r="F15" s="31" t="n">
        <x:v>16</x:v>
      </x:c>
      <x:c r="G15" s="30" t="n">
        <x:f>F15*1000000</x:f>
        <x:v>16000000</x:v>
      </x:c>
      <x:c r="H15" s="32" t="n">
        <x:f>F15/2.589988110336</x:f>
        <x:v>6.177634536679134</x:v>
      </x:c>
      <x:c r="I15" s="31" t="n">
        <x:f>IFERROR(E15/F15,"")</x:f>
        <x:v>19.5</x:v>
      </x:c>
      <x:c r="J15" s="33" t="str">
        <x:v>https://www.palaugov.pw/executive-branch/ministries/finance/budgetandplanning/population-census/</x:v>
      </x:c>
      <x:c r="K15" s="33" t="str">
        <x:v>https://palaugov.pw/wp-content/uploads/2018/07/2017-Statistical-Yearbook.pdf</x:v>
      </x:c>
      <x:c r="L15" s="33" t="str">
        <x:v>Palau_County Coordinates.xlsx</x:v>
      </x:c>
      <x:c r="M15" s="34" t="str"/>
    </x:row>
    <x:row r="16" ht="42" customHeight="1">
      <x:c r="A16" s="28" t="str">
        <x:v>PELELIU</x:v>
      </x:c>
      <x:c r="B16" s="28" t="str">
        <x:v>State</x:v>
      </x:c>
      <x:c r="C16" s="29" t="n">
        <x:v>7.00543494874462</x:v>
      </x:c>
      <x:c r="D16" s="29" t="n">
        <x:v>134.244959067692</x:v>
      </x:c>
      <x:c r="E16" s="30" t="n">
        <x:v>470</x:v>
      </x:c>
      <x:c r="F16" s="31" t="n">
        <x:v>17</x:v>
      </x:c>
      <x:c r="G16" s="30" t="n">
        <x:f>F16*1000000</x:f>
        <x:v>17000000</x:v>
      </x:c>
      <x:c r="H16" s="32" t="n">
        <x:f>F16/2.589988110336</x:f>
        <x:v>6.563736695221579</x:v>
      </x:c>
      <x:c r="I16" s="31" t="n">
        <x:f>IFERROR(E16/F16,"")</x:f>
        <x:v>27.647058823529413</x:v>
      </x:c>
      <x:c r="J16" s="33" t="str">
        <x:v>https://www.palaugov.pw/executive-branch/ministries/finance/budgetandplanning/population-census/</x:v>
      </x:c>
      <x:c r="K16" s="33" t="str">
        <x:v>https://palaugov.pw/wp-content/uploads/2018/07/2017-Statistical-Yearbook.pdf</x:v>
      </x:c>
      <x:c r="L16" s="33" t="str">
        <x:v>Palau_County Coordinates.xlsx</x:v>
      </x:c>
      <x:c r="M16" s="34" t="str"/>
    </x:row>
    <x:row r="17" ht="42" customHeight="1">
      <x:c r="A17" s="28" t="str">
        <x:v>SONSOROL</x:v>
      </x:c>
      <x:c r="B17" s="28" t="str">
        <x:v>State</x:v>
      </x:c>
      <x:c r="C17" s="29" t="n">
        <x:v>5.331</x:v>
      </x:c>
      <x:c r="D17" s="29" t="n">
        <x:v>132.2206</x:v>
      </x:c>
      <x:c r="E17" s="30" t="n">
        <x:v>53</x:v>
      </x:c>
      <x:c r="F17" s="31" t="n">
        <x:v>3</x:v>
      </x:c>
      <x:c r="G17" s="30" t="n">
        <x:f>F17*1000000</x:f>
        <x:v>3000000</x:v>
      </x:c>
      <x:c r="H17" s="32" t="n">
        <x:f>F17/2.589988110336</x:f>
        <x:v>1.1583064756273376</x:v>
      </x:c>
      <x:c r="I17" s="31" t="n">
        <x:f>IFERROR(E17/F17,"")</x:f>
        <x:v>17.666666666666668</x:v>
      </x:c>
      <x:c r="J17" s="33" t="str">
        <x:v>https://www.palaugov.pw/executive-branch/ministries/finance/budgetandplanning/population-census/</x:v>
      </x:c>
      <x:c r="K17" s="33" t="str">
        <x:v>https://palaugov.pw/wp-content/uploads/2018/07/2017-Statistical-Yearbook.pdf</x:v>
      </x:c>
      <x:c r="L17" s="33" t="str">
        <x:v>https://www.geonames.org/1559630/state-of-sonsorol.html</x:v>
      </x:c>
      <x:c r="M17" s="34" t="str">
        <x:v>Added because Sonsorol was absent from the uploaded coordinate workbook; coordinate is an approximate state/location point from GeoNames.</x:v>
      </x:c>
    </x:row>
  </x:sheetData>
  <x:pageMargins left="0.7" right="0.7" top="0.75" bottom="0.75" header="0.3" footer="0.3"/>
  <x:tableParts count="1">
    <x:tablePart xmlns:r="http://schemas.openxmlformats.org/officeDocument/2006/relationships" r:id="R089ff30b30d14d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4" hidden="0" customWidth="1"/>
    <x:col min="4" max="4" width="4" hidden="0" customWidth="1"/>
  </x:cols>
  <x:sheetData>
    <x:row r="1" ht="30" customHeight="1">
      <x:c r="A1" s="37" t="str">
        <x:v>Palau State Population, Area, Density, and Coordinates</x:v>
      </x:c>
      <x:c r="B1" s="37"/>
      <x:c r="C1" s="37"/>
      <x:c r="D1" s="37"/>
    </x:row>
    <x:row r="3" ht="15" hidden="0" customHeight="1">
      <x:c r="A3" s="53" t="str">
        <x:v>Dataset</x:v>
      </x:c>
      <x:c r="B3" s="54" t="str">
        <x:v>One row for each of Palau's 16 states, with 2020 population, land area, calculated density, and coordinates.</x:v>
      </x:c>
    </x:row>
    <x:row r="4" ht="24" hidden="0" customHeight="1">
      <x:c r="A4" s="55" t="str">
        <x:v>Administrative unit</x:v>
      </x:c>
      <x:c r="B4" s="56" t="str">
        <x:v>Palau's first-level administrative units are states. The County field name is retained for compatibility with the uploaded coordinate file and downstream joins.</x:v>
      </x:c>
    </x:row>
    <x:row r="5" ht="15" hidden="0" customHeight="1">
      <x:c r="A5" s="55" t="str">
        <x:v>Population basis</x:v>
      </x:c>
      <x:c r="B5" s="56" t="str">
        <x:v>2020 Census of Population and Housing, State of Residence.</x:v>
      </x:c>
    </x:row>
    <x:row r="6" ht="15" hidden="0" customHeight="1">
      <x:c r="A6" s="55" t="str">
        <x:v>Population check</x:v>
      </x:c>
      <x:c r="B6" s="57" t="n">
        <x:f>SUM('State_Data'!E2:E17)</x:f>
        <x:v>17614</x:v>
      </x:c>
    </x:row>
    <x:row r="7" ht="24" hidden="0" customHeight="1">
      <x:c r="A7" s="55" t="str">
        <x:v>Area basis</x:v>
      </x:c>
      <x:c r="B7" s="56" t="str">
        <x:v>Office of PALARIS land-area values reported in Table 2.2 of the 2017 Republic of Palau Statistical Yearbook. Land area is treated as time-invariant for this calculation.</x:v>
      </x:c>
    </x:row>
    <x:row r="8" ht="15" hidden="0" customHeight="1">
      <x:c r="A8" s="55" t="str">
        <x:v>Area check (km²)</x:v>
      </x:c>
      <x:c r="B8" s="58" t="n">
        <x:f>SUM('State_Data'!F2:F17)</x:f>
        <x:v>416.4</x:v>
      </x:c>
    </x:row>
    <x:row r="9" ht="15" hidden="0" customHeight="1">
      <x:c r="A9" s="55" t="str">
        <x:v>Density calculation</x:v>
      </x:c>
      <x:c r="B9" s="56" t="str">
        <x:v>2020 Population divided by Land Area (km²). Density cells retain formula precision and display one decimal place.</x:v>
      </x:c>
    </x:row>
    <x:row r="10" ht="15" hidden="0" customHeight="1">
      <x:c r="A10" s="55" t="str">
        <x:v>Square-mile calculation</x:v>
      </x:c>
      <x:c r="B10" s="56" t="str">
        <x:v>Land Area (km²) divided by 2.589988110336. Values may differ slightly from independently rounded square-mile values in the source table.</x:v>
      </x:c>
    </x:row>
    <x:row r="11" ht="15" hidden="0" customHeight="1">
      <x:c r="A11" s="55" t="str">
        <x:v>Coordinate basis</x:v>
      </x:c>
      <x:c r="B11" s="56" t="str">
        <x:v>Fifteen coordinates came from Palau_County Coordinates.xlsx. Sonsorol was missing and was added using the GeoNames state/location point.</x:v>
      </x:c>
    </x:row>
    <x:row r="12" ht="15" hidden="0" customHeight="1">
      <x:c r="A12" s="55" t="str">
        <x:v>Name note</x:v>
      </x:c>
      <x:c r="B12" s="56" t="str">
        <x:v>NGARCHELONG is retained exactly as supplied for joins; official publications vary between Ngarchelong and Ngerchelong.</x:v>
      </x:c>
    </x:row>
    <x:row r="13" ht="15" hidden="0" customHeight="1">
      <x:c r="A13" s="55"/>
      <x:c r="B13" s="56"/>
    </x:row>
    <x:row r="14" ht="15" hidden="0" customHeight="1">
      <x:c r="A14" s="55" t="str">
        <x:v>Population Source URL</x:v>
      </x:c>
      <x:c r="B14" s="59" t="str">
        <x:v>https://www.palaugov.pw/executive-branch/ministries/finance/budgetandplanning/population-census/</x:v>
      </x:c>
    </x:row>
    <x:row r="15" ht="15" hidden="0" customHeight="1">
      <x:c r="A15" s="55" t="str">
        <x:v>Area Source URL</x:v>
      </x:c>
      <x:c r="B15" s="59" t="str">
        <x:v>https://palaugov.pw/wp-content/uploads/2018/07/2017-Statistical-Yearbook.pdf</x:v>
      </x:c>
    </x:row>
    <x:row r="16" ht="15" hidden="0" customHeight="1">
      <x:c r="A16" s="60" t="str">
        <x:v>Sonsorol Coordinate Source URL</x:v>
      </x:c>
      <x:c r="B16" s="61" t="str">
        <x:v>https://www.geonames.org/1559630/state-of-sonsorol.html</x:v>
      </x:c>
    </x:row>
  </x:sheetData>
  <x:mergeCells>
    <x:mergeCell ref="A1:D1"/>
  </x:mergeCells>
  <x:pageMargins left="0.7" right="0.7" top="0.75" bottom="0.75" header="0.3" footer="0.3"/>
</x:worksheet>
</file>